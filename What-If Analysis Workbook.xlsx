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"/>
    </mc:Choice>
  </mc:AlternateContent>
  <xr:revisionPtr revIDLastSave="0" documentId="13_ncr:1_{5F8E5AB4-CA67-4358-A1FC-FDD28D9D79F7}" xr6:coauthVersionLast="47" xr6:coauthVersionMax="47" xr10:uidLastSave="{00000000-0000-0000-0000-000000000000}"/>
  <bookViews>
    <workbookView xWindow="384" yWindow="384" windowWidth="18012" windowHeight="11832" activeTab="2" xr2:uid="{75F37873-619D-41E9-BBB5-F350EDC1EE4D}"/>
  </bookViews>
  <sheets>
    <sheet name="Goal Seek" sheetId="1" r:id="rId1"/>
    <sheet name="Scenario Manager" sheetId="2" r:id="rId2"/>
    <sheet name="Data Table" sheetId="7" r:id="rId3"/>
  </sheets>
  <definedNames>
    <definedName name="Price">'Scenario Manager'!$D$4</definedName>
    <definedName name="Profit">'Scenario Manager'!#REF!</definedName>
    <definedName name="Quantity">'Scenario Manager'!$D$5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7" l="1"/>
  <c r="N8" i="7" s="1"/>
  <c r="N9" i="7" s="1"/>
  <c r="N6" i="7"/>
  <c r="C6" i="7"/>
  <c r="F17" i="2"/>
  <c r="F18" i="2" s="1"/>
  <c r="F16" i="2"/>
  <c r="C7" i="2"/>
  <c r="C8" i="2" s="1"/>
  <c r="C20" i="1"/>
  <c r="C18" i="1"/>
  <c r="C21" i="1" s="1"/>
  <c r="C7" i="1"/>
  <c r="C8" i="1" s="1"/>
  <c r="F19" i="2" l="1"/>
  <c r="C22" i="1"/>
</calcChain>
</file>

<file path=xl/sharedStrings.xml><?xml version="1.0" encoding="utf-8"?>
<sst xmlns="http://schemas.openxmlformats.org/spreadsheetml/2006/main" count="137" uniqueCount="49">
  <si>
    <t>Goal Seek</t>
  </si>
  <si>
    <t>Variables</t>
  </si>
  <si>
    <t>Formula</t>
  </si>
  <si>
    <t>Values</t>
  </si>
  <si>
    <t>Purchase Cost (PC) per unit</t>
  </si>
  <si>
    <t>Price per unit</t>
  </si>
  <si>
    <t>Nil</t>
  </si>
  <si>
    <t>Quantity</t>
  </si>
  <si>
    <t>Fixed Cost (FC)</t>
  </si>
  <si>
    <t>Total Revenue (TR)</t>
  </si>
  <si>
    <t>Price * Quantity</t>
  </si>
  <si>
    <t>Profit</t>
  </si>
  <si>
    <t>TR - FC</t>
  </si>
  <si>
    <t>Changing Price</t>
  </si>
  <si>
    <t>Changing Qty</t>
  </si>
  <si>
    <t>Variable Cost (VC)</t>
  </si>
  <si>
    <t>Price * 10%</t>
  </si>
  <si>
    <t>Total Cost (TC)</t>
  </si>
  <si>
    <t>FC + (VC * Qty) + (PC * Qty)</t>
  </si>
  <si>
    <t>TR - TC</t>
  </si>
  <si>
    <t>Classwork</t>
  </si>
  <si>
    <t>What Qty and Price can be sold to achieve a profit of 20000?</t>
  </si>
  <si>
    <t>Scenario Manager</t>
  </si>
  <si>
    <t>Average Case</t>
  </si>
  <si>
    <t>A small retail store wants to optimise monthly Profit</t>
  </si>
  <si>
    <t>Variable</t>
  </si>
  <si>
    <t>Value</t>
  </si>
  <si>
    <t>Qty Sold</t>
  </si>
  <si>
    <t>Data Table</t>
  </si>
  <si>
    <t>Setup Formula</t>
  </si>
  <si>
    <t>Revenue</t>
  </si>
  <si>
    <t>Price * Qty</t>
  </si>
  <si>
    <t>VC * Qty</t>
  </si>
  <si>
    <t>Variable Cost per unit (VC)</t>
  </si>
  <si>
    <t>Total VC (TVC)</t>
  </si>
  <si>
    <t>TVC + FC</t>
  </si>
  <si>
    <t>Revenue - TC</t>
  </si>
  <si>
    <t>Scenarios</t>
  </si>
  <si>
    <t>Conservative Market</t>
  </si>
  <si>
    <t>Expected Market</t>
  </si>
  <si>
    <t>High Growth Market</t>
  </si>
  <si>
    <t>Total Revenue</t>
  </si>
  <si>
    <t>Price change</t>
  </si>
  <si>
    <t>One Variable</t>
  </si>
  <si>
    <t>Two Variables</t>
  </si>
  <si>
    <t>Class Work</t>
  </si>
  <si>
    <t>A bakery wants to know how changing quantity sold affects profit</t>
  </si>
  <si>
    <t>Base Data</t>
  </si>
  <si>
    <t>Quantity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</si>
</sst>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₦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9" fontId="0" fillId="0" borderId="0" xfId="0" applyNumberFormat="1"/>
    <xf numFmtId="0" fontId="2" fillId="0" borderId="0" xfId="0" applyFont="1"/>
    <xf numFmtId="0" fontId="0" fillId="5" borderId="0" xfId="0" applyFill="1"/>
    <xf numFmtId="164" fontId="0" fillId="0" borderId="0" xfId="0" applyNumberFormat="1"/>
    <xf numFmtId="165" fontId="0" fillId="0" borderId="0" xfId="0" applyNumberFormat="1"/>
    <xf numFmtId="0" fontId="2" fillId="6" borderId="0" xfId="0" applyFont="1" applyFill="1"/>
    <xf numFmtId="0" fontId="1" fillId="0" borderId="0" xfId="0" applyFont="1"/>
    <xf numFmtId="0" fontId="0" fillId="0" borderId="0" xfId="0" applyAlignment="1">
      <alignment horizontal="center"/>
    </xf>
    <xf numFmtId="165" fontId="0" fillId="5" borderId="0" xfId="0" applyNumberFormat="1" applyFill="1"/>
    <xf numFmtId="165" fontId="0" fillId="3" borderId="0" xfId="0" applyNumberFormat="1" applyFill="1"/>
    <xf numFmtId="0" fontId="0" fillId="7" borderId="0" xfId="0" applyFill="1"/>
    <xf numFmtId="165" fontId="1" fillId="7" borderId="0" xfId="0" applyNumberFormat="1" applyFont="1" applyFill="1"/>
    <xf numFmtId="165" fontId="1" fillId="5" borderId="0" xfId="0" applyNumberFormat="1" applyFont="1" applyFill="1"/>
    <xf numFmtId="0" fontId="0" fillId="0" borderId="0" xfId="0" applyAlignment="1">
      <alignment horizontal="center"/>
    </xf>
    <xf numFmtId="0" fontId="1" fillId="3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2514-1E82-45E9-AAF3-E21FFC378017}">
  <dimension ref="A1:E22"/>
  <sheetViews>
    <sheetView workbookViewId="0">
      <selection activeCell="G11" sqref="G11"/>
    </sheetView>
  </sheetViews>
  <sheetFormatPr defaultRowHeight="14.4" x14ac:dyDescent="0.3"/>
  <cols>
    <col min="1" max="1" width="23.109375" bestFit="1" customWidth="1"/>
    <col min="2" max="2" width="23.21875" bestFit="1" customWidth="1"/>
    <col min="4" max="5" width="12.77734375" bestFit="1" customWidth="1"/>
  </cols>
  <sheetData>
    <row r="1" spans="1:5" ht="15.6" x14ac:dyDescent="0.3">
      <c r="A1" s="1" t="s">
        <v>0</v>
      </c>
    </row>
    <row r="2" spans="1:5" x14ac:dyDescent="0.3">
      <c r="A2" s="4" t="s">
        <v>1</v>
      </c>
      <c r="B2" s="4" t="s">
        <v>2</v>
      </c>
      <c r="C2" s="4" t="s">
        <v>3</v>
      </c>
      <c r="D2" s="4" t="s">
        <v>13</v>
      </c>
      <c r="E2" s="4" t="s">
        <v>14</v>
      </c>
    </row>
    <row r="3" spans="1:5" x14ac:dyDescent="0.3">
      <c r="A3" t="s">
        <v>4</v>
      </c>
      <c r="C3">
        <v>1000</v>
      </c>
    </row>
    <row r="4" spans="1:5" x14ac:dyDescent="0.3">
      <c r="A4" t="s">
        <v>5</v>
      </c>
      <c r="B4" t="s">
        <v>6</v>
      </c>
      <c r="C4">
        <v>1800</v>
      </c>
      <c r="D4" s="2"/>
    </row>
    <row r="5" spans="1:5" x14ac:dyDescent="0.3">
      <c r="A5" t="s">
        <v>7</v>
      </c>
      <c r="B5" t="s">
        <v>6</v>
      </c>
      <c r="C5">
        <v>100</v>
      </c>
      <c r="E5" s="3"/>
    </row>
    <row r="6" spans="1:5" x14ac:dyDescent="0.3">
      <c r="A6" t="s">
        <v>8</v>
      </c>
      <c r="C6">
        <v>50000</v>
      </c>
    </row>
    <row r="7" spans="1:5" x14ac:dyDescent="0.3">
      <c r="A7" t="s">
        <v>9</v>
      </c>
      <c r="B7" t="s">
        <v>10</v>
      </c>
      <c r="C7">
        <f>PRODUCT(C4,C5)</f>
        <v>180000</v>
      </c>
    </row>
    <row r="8" spans="1:5" x14ac:dyDescent="0.3">
      <c r="A8" t="s">
        <v>11</v>
      </c>
      <c r="B8" t="s">
        <v>12</v>
      </c>
      <c r="C8">
        <f>C7-C6</f>
        <v>130000</v>
      </c>
      <c r="D8" s="7"/>
      <c r="E8" s="7"/>
    </row>
    <row r="11" spans="1:5" ht="15.6" x14ac:dyDescent="0.3">
      <c r="A11" s="1" t="s">
        <v>20</v>
      </c>
    </row>
    <row r="12" spans="1:5" x14ac:dyDescent="0.3">
      <c r="A12" t="s">
        <v>21</v>
      </c>
    </row>
    <row r="13" spans="1:5" ht="15.6" x14ac:dyDescent="0.3">
      <c r="A13" s="6"/>
    </row>
    <row r="14" spans="1:5" x14ac:dyDescent="0.3">
      <c r="A14" s="4" t="s">
        <v>1</v>
      </c>
      <c r="B14" s="4" t="s">
        <v>2</v>
      </c>
      <c r="C14" s="4" t="s">
        <v>3</v>
      </c>
      <c r="D14" s="4" t="s">
        <v>14</v>
      </c>
      <c r="E14" s="4" t="s">
        <v>13</v>
      </c>
    </row>
    <row r="15" spans="1:5" x14ac:dyDescent="0.3">
      <c r="A15" t="s">
        <v>4</v>
      </c>
      <c r="C15">
        <v>1000</v>
      </c>
    </row>
    <row r="16" spans="1:5" x14ac:dyDescent="0.3">
      <c r="A16" t="s">
        <v>5</v>
      </c>
      <c r="B16" t="s">
        <v>6</v>
      </c>
      <c r="C16">
        <v>1800</v>
      </c>
      <c r="E16" s="2"/>
    </row>
    <row r="17" spans="1:5" x14ac:dyDescent="0.3">
      <c r="A17" t="s">
        <v>7</v>
      </c>
      <c r="B17" t="s">
        <v>6</v>
      </c>
      <c r="C17">
        <v>100</v>
      </c>
      <c r="D17" s="2"/>
    </row>
    <row r="18" spans="1:5" x14ac:dyDescent="0.3">
      <c r="A18" t="s">
        <v>15</v>
      </c>
      <c r="B18" s="5" t="s">
        <v>16</v>
      </c>
      <c r="C18">
        <f>C16*10%</f>
        <v>180</v>
      </c>
    </row>
    <row r="19" spans="1:5" x14ac:dyDescent="0.3">
      <c r="A19" t="s">
        <v>8</v>
      </c>
      <c r="C19">
        <v>50000</v>
      </c>
    </row>
    <row r="20" spans="1:5" x14ac:dyDescent="0.3">
      <c r="A20" t="s">
        <v>9</v>
      </c>
      <c r="B20" t="s">
        <v>10</v>
      </c>
      <c r="C20">
        <f>PRODUCT(C16,C17)</f>
        <v>180000</v>
      </c>
    </row>
    <row r="21" spans="1:5" x14ac:dyDescent="0.3">
      <c r="A21" t="s">
        <v>17</v>
      </c>
      <c r="B21" t="s">
        <v>18</v>
      </c>
      <c r="C21">
        <f>SUM(C19,(C18*C17),(C15*C17))</f>
        <v>168000</v>
      </c>
    </row>
    <row r="22" spans="1:5" x14ac:dyDescent="0.3">
      <c r="A22" t="s">
        <v>11</v>
      </c>
      <c r="B22" t="s">
        <v>19</v>
      </c>
      <c r="C22">
        <f>C20-C21</f>
        <v>12000</v>
      </c>
      <c r="D22" s="7"/>
      <c r="E2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F5AE-7AB9-4D5D-AFD8-B38D3AAAB2AC}">
  <dimension ref="A1:F44"/>
  <sheetViews>
    <sheetView zoomScaleNormal="100" workbookViewId="0">
      <selection activeCell="F8" sqref="F8"/>
    </sheetView>
  </sheetViews>
  <sheetFormatPr defaultRowHeight="14.4" x14ac:dyDescent="0.3"/>
  <cols>
    <col min="1" max="1" width="44.109375" bestFit="1" customWidth="1"/>
    <col min="2" max="2" width="18.109375" bestFit="1" customWidth="1"/>
    <col min="3" max="3" width="11.88671875" bestFit="1" customWidth="1"/>
    <col min="4" max="4" width="14.6640625" bestFit="1" customWidth="1"/>
    <col min="5" max="5" width="11.6640625" bestFit="1" customWidth="1"/>
    <col min="6" max="6" width="12.77734375" bestFit="1" customWidth="1"/>
    <col min="8" max="8" width="22.5546875" bestFit="1" customWidth="1"/>
    <col min="9" max="9" width="18.109375" bestFit="1" customWidth="1"/>
    <col min="10" max="10" width="14.88671875" bestFit="1" customWidth="1"/>
  </cols>
  <sheetData>
    <row r="1" spans="1:6" ht="15.6" x14ac:dyDescent="0.3">
      <c r="A1" s="1" t="s">
        <v>22</v>
      </c>
    </row>
    <row r="2" spans="1:6" x14ac:dyDescent="0.3">
      <c r="A2" s="4" t="s">
        <v>1</v>
      </c>
      <c r="B2" s="4" t="s">
        <v>2</v>
      </c>
      <c r="C2" s="4" t="s">
        <v>23</v>
      </c>
    </row>
    <row r="3" spans="1:6" x14ac:dyDescent="0.3">
      <c r="A3" t="s">
        <v>4</v>
      </c>
      <c r="C3" s="9">
        <v>1000</v>
      </c>
    </row>
    <row r="4" spans="1:6" x14ac:dyDescent="0.3">
      <c r="A4" t="s">
        <v>5</v>
      </c>
      <c r="B4" t="s">
        <v>6</v>
      </c>
      <c r="C4" s="9">
        <v>1800</v>
      </c>
    </row>
    <row r="5" spans="1:6" x14ac:dyDescent="0.3">
      <c r="A5" t="s">
        <v>7</v>
      </c>
      <c r="B5" t="s">
        <v>6</v>
      </c>
      <c r="C5">
        <v>100</v>
      </c>
      <c r="E5" s="8"/>
    </row>
    <row r="6" spans="1:6" x14ac:dyDescent="0.3">
      <c r="A6" t="s">
        <v>8</v>
      </c>
      <c r="C6" s="9">
        <v>50000</v>
      </c>
    </row>
    <row r="7" spans="1:6" x14ac:dyDescent="0.3">
      <c r="A7" t="s">
        <v>9</v>
      </c>
      <c r="B7" t="s">
        <v>10</v>
      </c>
      <c r="C7" s="9">
        <f>PRODUCT(C4,C5)</f>
        <v>180000</v>
      </c>
    </row>
    <row r="8" spans="1:6" x14ac:dyDescent="0.3">
      <c r="A8" t="s">
        <v>11</v>
      </c>
      <c r="B8" t="s">
        <v>12</v>
      </c>
      <c r="C8" s="9">
        <f>C7-C6</f>
        <v>130000</v>
      </c>
    </row>
    <row r="11" spans="1:6" ht="15.6" x14ac:dyDescent="0.3">
      <c r="A11" s="1" t="s">
        <v>20</v>
      </c>
    </row>
    <row r="12" spans="1:6" x14ac:dyDescent="0.3">
      <c r="A12" t="s">
        <v>24</v>
      </c>
    </row>
    <row r="14" spans="1:6" ht="15.6" x14ac:dyDescent="0.3">
      <c r="A14" s="1" t="s">
        <v>28</v>
      </c>
      <c r="D14" s="1" t="s">
        <v>29</v>
      </c>
    </row>
    <row r="15" spans="1:6" x14ac:dyDescent="0.3">
      <c r="A15" s="4" t="s">
        <v>25</v>
      </c>
      <c r="B15" s="4" t="s">
        <v>26</v>
      </c>
      <c r="D15" s="4" t="s">
        <v>25</v>
      </c>
      <c r="E15" s="4" t="s">
        <v>2</v>
      </c>
      <c r="F15" s="4" t="s">
        <v>3</v>
      </c>
    </row>
    <row r="16" spans="1:6" x14ac:dyDescent="0.3">
      <c r="A16" t="s">
        <v>5</v>
      </c>
      <c r="B16" s="9">
        <v>8000</v>
      </c>
      <c r="D16" t="s">
        <v>30</v>
      </c>
      <c r="E16" t="s">
        <v>31</v>
      </c>
      <c r="F16" s="9">
        <f>B16*B17</f>
        <v>3200000</v>
      </c>
    </row>
    <row r="17" spans="1:6" x14ac:dyDescent="0.3">
      <c r="A17" t="s">
        <v>27</v>
      </c>
      <c r="B17">
        <v>400</v>
      </c>
      <c r="D17" t="s">
        <v>34</v>
      </c>
      <c r="E17" t="s">
        <v>32</v>
      </c>
      <c r="F17" s="9">
        <f>B18*B17</f>
        <v>1400000</v>
      </c>
    </row>
    <row r="18" spans="1:6" x14ac:dyDescent="0.3">
      <c r="A18" t="s">
        <v>33</v>
      </c>
      <c r="B18" s="9">
        <v>3500</v>
      </c>
      <c r="D18" t="s">
        <v>17</v>
      </c>
      <c r="E18" t="s">
        <v>35</v>
      </c>
      <c r="F18" s="9">
        <f>F17+B19</f>
        <v>2200000</v>
      </c>
    </row>
    <row r="19" spans="1:6" x14ac:dyDescent="0.3">
      <c r="A19" t="s">
        <v>8</v>
      </c>
      <c r="B19" s="9">
        <v>800000</v>
      </c>
      <c r="D19" t="s">
        <v>11</v>
      </c>
      <c r="E19" t="s">
        <v>36</v>
      </c>
      <c r="F19" s="9">
        <f>F16-F18</f>
        <v>1000000</v>
      </c>
    </row>
    <row r="22" spans="1:6" ht="15.6" x14ac:dyDescent="0.3">
      <c r="A22" s="10" t="s">
        <v>37</v>
      </c>
    </row>
    <row r="23" spans="1:6" ht="15.6" x14ac:dyDescent="0.3">
      <c r="A23" s="10" t="s">
        <v>38</v>
      </c>
      <c r="D23" s="6"/>
    </row>
    <row r="24" spans="1:6" x14ac:dyDescent="0.3">
      <c r="A24" s="4" t="s">
        <v>25</v>
      </c>
      <c r="B24" s="4" t="s">
        <v>3</v>
      </c>
    </row>
    <row r="25" spans="1:6" x14ac:dyDescent="0.3">
      <c r="A25" t="s">
        <v>5</v>
      </c>
      <c r="B25" s="9">
        <v>7000</v>
      </c>
      <c r="C25" s="9"/>
      <c r="F25" s="9"/>
    </row>
    <row r="26" spans="1:6" x14ac:dyDescent="0.3">
      <c r="A26" t="s">
        <v>27</v>
      </c>
      <c r="B26">
        <v>250</v>
      </c>
      <c r="F26" s="9"/>
    </row>
    <row r="27" spans="1:6" x14ac:dyDescent="0.3">
      <c r="A27" t="s">
        <v>33</v>
      </c>
      <c r="B27" s="9">
        <v>3800</v>
      </c>
      <c r="C27" s="9"/>
      <c r="F27" s="9"/>
    </row>
    <row r="28" spans="1:6" x14ac:dyDescent="0.3">
      <c r="A28" t="s">
        <v>8</v>
      </c>
      <c r="B28" s="9">
        <v>800000</v>
      </c>
      <c r="C28" s="9"/>
      <c r="F28" s="9"/>
    </row>
    <row r="31" spans="1:6" ht="15.6" x14ac:dyDescent="0.3">
      <c r="A31" s="10" t="s">
        <v>39</v>
      </c>
      <c r="D31" s="6"/>
    </row>
    <row r="32" spans="1:6" x14ac:dyDescent="0.3">
      <c r="A32" s="4" t="s">
        <v>25</v>
      </c>
      <c r="B32" s="4" t="s">
        <v>3</v>
      </c>
    </row>
    <row r="33" spans="1:6" x14ac:dyDescent="0.3">
      <c r="A33" t="s">
        <v>5</v>
      </c>
      <c r="B33" s="9">
        <v>8000</v>
      </c>
      <c r="F33" s="9"/>
    </row>
    <row r="34" spans="1:6" x14ac:dyDescent="0.3">
      <c r="A34" t="s">
        <v>27</v>
      </c>
      <c r="B34">
        <v>400</v>
      </c>
      <c r="F34" s="9"/>
    </row>
    <row r="35" spans="1:6" x14ac:dyDescent="0.3">
      <c r="A35" t="s">
        <v>33</v>
      </c>
      <c r="B35" s="9">
        <v>3500</v>
      </c>
      <c r="F35" s="9"/>
    </row>
    <row r="36" spans="1:6" x14ac:dyDescent="0.3">
      <c r="A36" t="s">
        <v>8</v>
      </c>
      <c r="B36" s="9">
        <v>800000</v>
      </c>
      <c r="F36" s="9"/>
    </row>
    <row r="39" spans="1:6" ht="15.6" x14ac:dyDescent="0.3">
      <c r="A39" s="10" t="s">
        <v>40</v>
      </c>
      <c r="D39" s="6"/>
    </row>
    <row r="40" spans="1:6" x14ac:dyDescent="0.3">
      <c r="A40" s="4" t="s">
        <v>25</v>
      </c>
      <c r="B40" s="4" t="s">
        <v>3</v>
      </c>
    </row>
    <row r="41" spans="1:6" x14ac:dyDescent="0.3">
      <c r="A41" t="s">
        <v>5</v>
      </c>
      <c r="B41" s="9">
        <v>9500</v>
      </c>
      <c r="C41" s="9"/>
      <c r="F41" s="9"/>
    </row>
    <row r="42" spans="1:6" x14ac:dyDescent="0.3">
      <c r="A42" t="s">
        <v>27</v>
      </c>
      <c r="B42">
        <v>700</v>
      </c>
      <c r="F42" s="9"/>
    </row>
    <row r="43" spans="1:6" x14ac:dyDescent="0.3">
      <c r="A43" t="s">
        <v>33</v>
      </c>
      <c r="B43" s="9">
        <v>3200</v>
      </c>
      <c r="C43" s="9"/>
      <c r="F43" s="9"/>
    </row>
    <row r="44" spans="1:6" x14ac:dyDescent="0.3">
      <c r="A44" t="s">
        <v>8</v>
      </c>
      <c r="B44" s="9">
        <v>950000</v>
      </c>
      <c r="C44" s="9"/>
      <c r="F4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18B4-0DE6-47C8-B4E4-1E2374420F92}">
  <dimension ref="A1:P33"/>
  <sheetViews>
    <sheetView tabSelected="1" workbookViewId="0">
      <selection activeCell="B14" sqref="B14"/>
    </sheetView>
  </sheetViews>
  <sheetFormatPr defaultRowHeight="14.4" x14ac:dyDescent="0.3"/>
  <cols>
    <col min="1" max="2" width="13.109375" bestFit="1" customWidth="1"/>
    <col min="3" max="3" width="6.77734375" bestFit="1" customWidth="1"/>
    <col min="8" max="8" width="13.109375" bestFit="1" customWidth="1"/>
    <col min="9" max="9" width="24.6640625" customWidth="1"/>
    <col min="10" max="10" width="14.33203125" customWidth="1"/>
    <col min="11" max="11" width="12.21875" customWidth="1"/>
    <col min="13" max="13" width="11.6640625" bestFit="1" customWidth="1"/>
    <col min="14" max="14" width="10.21875" bestFit="1" customWidth="1"/>
  </cols>
  <sheetData>
    <row r="1" spans="1:14" ht="15.6" x14ac:dyDescent="0.3">
      <c r="A1" s="1" t="s">
        <v>28</v>
      </c>
      <c r="I1" s="1" t="s">
        <v>45</v>
      </c>
    </row>
    <row r="2" spans="1:14" x14ac:dyDescent="0.3">
      <c r="A2" s="4" t="s">
        <v>1</v>
      </c>
      <c r="B2" s="4" t="s">
        <v>2</v>
      </c>
      <c r="C2" s="4" t="s">
        <v>3</v>
      </c>
      <c r="I2" s="18" t="s">
        <v>46</v>
      </c>
      <c r="J2" s="18"/>
      <c r="K2" s="18"/>
      <c r="L2" s="18"/>
    </row>
    <row r="3" spans="1:14" x14ac:dyDescent="0.3">
      <c r="A3" t="s">
        <v>5</v>
      </c>
      <c r="B3" t="s">
        <v>6</v>
      </c>
      <c r="C3" s="9">
        <v>100</v>
      </c>
      <c r="I3" s="12"/>
      <c r="J3" s="12"/>
      <c r="K3" s="12"/>
      <c r="L3" s="12"/>
    </row>
    <row r="4" spans="1:14" ht="15.6" x14ac:dyDescent="0.3">
      <c r="A4" t="s">
        <v>7</v>
      </c>
      <c r="B4" t="s">
        <v>6</v>
      </c>
      <c r="C4">
        <v>50</v>
      </c>
      <c r="I4" s="1" t="s">
        <v>47</v>
      </c>
      <c r="L4" s="1" t="s">
        <v>2</v>
      </c>
    </row>
    <row r="5" spans="1:14" x14ac:dyDescent="0.3">
      <c r="I5" s="4" t="s">
        <v>25</v>
      </c>
      <c r="J5" s="4" t="s">
        <v>26</v>
      </c>
      <c r="L5" s="4" t="s">
        <v>25</v>
      </c>
      <c r="M5" s="4" t="s">
        <v>2</v>
      </c>
      <c r="N5" s="4" t="s">
        <v>3</v>
      </c>
    </row>
    <row r="6" spans="1:14" x14ac:dyDescent="0.3">
      <c r="A6" s="11" t="s">
        <v>41</v>
      </c>
      <c r="B6" t="s">
        <v>31</v>
      </c>
      <c r="C6" s="9">
        <f>PRODUCT(C3,C4)</f>
        <v>5000</v>
      </c>
      <c r="I6" t="s">
        <v>5</v>
      </c>
      <c r="J6" s="14">
        <v>8000</v>
      </c>
      <c r="L6" t="s">
        <v>30</v>
      </c>
      <c r="M6" t="s">
        <v>31</v>
      </c>
      <c r="N6" s="9">
        <f>J6*J7</f>
        <v>3200000</v>
      </c>
    </row>
    <row r="7" spans="1:14" x14ac:dyDescent="0.3">
      <c r="I7" t="s">
        <v>27</v>
      </c>
      <c r="J7" s="15">
        <v>400</v>
      </c>
      <c r="L7" t="s">
        <v>34</v>
      </c>
      <c r="M7" t="s">
        <v>32</v>
      </c>
      <c r="N7" s="9">
        <f>J8*J7</f>
        <v>1400000</v>
      </c>
    </row>
    <row r="8" spans="1:14" x14ac:dyDescent="0.3">
      <c r="I8" t="s">
        <v>33</v>
      </c>
      <c r="J8" s="9">
        <v>3500</v>
      </c>
      <c r="L8" t="s">
        <v>17</v>
      </c>
      <c r="M8" t="s">
        <v>35</v>
      </c>
      <c r="N8" s="9">
        <f>N7+J9</f>
        <v>2200000</v>
      </c>
    </row>
    <row r="9" spans="1:14" ht="15.6" x14ac:dyDescent="0.3">
      <c r="A9" s="1" t="s">
        <v>43</v>
      </c>
      <c r="I9" t="s">
        <v>8</v>
      </c>
      <c r="J9" s="9">
        <v>800000</v>
      </c>
      <c r="L9" t="s">
        <v>11</v>
      </c>
      <c r="M9" t="s">
        <v>36</v>
      </c>
      <c r="N9" s="13">
        <f>N6-N8</f>
        <v>1000000</v>
      </c>
    </row>
    <row r="10" spans="1:14" x14ac:dyDescent="0.3">
      <c r="A10" s="11" t="s">
        <v>42</v>
      </c>
      <c r="B10" s="11" t="s">
        <v>11</v>
      </c>
      <c r="I10" s="9"/>
    </row>
    <row r="11" spans="1:14" ht="15.6" x14ac:dyDescent="0.3">
      <c r="I11" s="1" t="s">
        <v>43</v>
      </c>
    </row>
    <row r="12" spans="1:14" x14ac:dyDescent="0.3">
      <c r="A12" s="9">
        <v>150</v>
      </c>
      <c r="I12" s="16" t="s">
        <v>48</v>
      </c>
      <c r="J12" s="17" t="s">
        <v>11</v>
      </c>
    </row>
    <row r="13" spans="1:14" x14ac:dyDescent="0.3">
      <c r="A13" s="9">
        <v>200</v>
      </c>
      <c r="I13" s="9"/>
    </row>
    <row r="14" spans="1:14" x14ac:dyDescent="0.3">
      <c r="A14" s="9">
        <v>250</v>
      </c>
      <c r="I14">
        <v>100</v>
      </c>
    </row>
    <row r="15" spans="1:14" x14ac:dyDescent="0.3">
      <c r="A15" s="9">
        <v>300</v>
      </c>
      <c r="I15">
        <v>200</v>
      </c>
    </row>
    <row r="16" spans="1:14" x14ac:dyDescent="0.3">
      <c r="A16" s="9">
        <v>350</v>
      </c>
      <c r="I16">
        <v>300</v>
      </c>
    </row>
    <row r="17" spans="1:16" x14ac:dyDescent="0.3">
      <c r="A17" s="9">
        <v>400</v>
      </c>
      <c r="I17">
        <v>400</v>
      </c>
    </row>
    <row r="18" spans="1:16" x14ac:dyDescent="0.3">
      <c r="A18" s="9">
        <v>450</v>
      </c>
      <c r="I18">
        <v>500</v>
      </c>
    </row>
    <row r="19" spans="1:16" x14ac:dyDescent="0.3">
      <c r="A19" s="9">
        <v>500</v>
      </c>
      <c r="I19">
        <v>600</v>
      </c>
    </row>
    <row r="20" spans="1:16" x14ac:dyDescent="0.3">
      <c r="I20">
        <v>700</v>
      </c>
    </row>
    <row r="23" spans="1:16" ht="15.6" x14ac:dyDescent="0.3">
      <c r="A23" s="1" t="s">
        <v>44</v>
      </c>
      <c r="I23" s="1" t="s">
        <v>44</v>
      </c>
    </row>
    <row r="24" spans="1:16" x14ac:dyDescent="0.3">
      <c r="A24" s="11" t="s">
        <v>42</v>
      </c>
      <c r="B24" s="11" t="s">
        <v>48</v>
      </c>
      <c r="I24" s="19" t="s">
        <v>42</v>
      </c>
      <c r="J24" s="20" t="s">
        <v>48</v>
      </c>
    </row>
    <row r="25" spans="1:16" x14ac:dyDescent="0.3">
      <c r="B25">
        <v>50</v>
      </c>
      <c r="C25">
        <v>100</v>
      </c>
      <c r="D25">
        <v>150</v>
      </c>
      <c r="E25">
        <v>200</v>
      </c>
      <c r="F25">
        <v>250</v>
      </c>
      <c r="G25">
        <v>300</v>
      </c>
      <c r="J25">
        <v>100</v>
      </c>
      <c r="K25">
        <v>200</v>
      </c>
      <c r="L25">
        <v>300</v>
      </c>
      <c r="M25">
        <v>400</v>
      </c>
      <c r="N25">
        <v>500</v>
      </c>
      <c r="O25">
        <v>600</v>
      </c>
      <c r="P25">
        <v>700</v>
      </c>
    </row>
    <row r="26" spans="1:16" x14ac:dyDescent="0.3">
      <c r="A26" s="9">
        <v>150</v>
      </c>
      <c r="I26">
        <v>6500</v>
      </c>
    </row>
    <row r="27" spans="1:16" x14ac:dyDescent="0.3">
      <c r="A27" s="9">
        <v>200</v>
      </c>
      <c r="I27">
        <v>7000</v>
      </c>
    </row>
    <row r="28" spans="1:16" x14ac:dyDescent="0.3">
      <c r="A28" s="9">
        <v>250</v>
      </c>
      <c r="I28">
        <v>7500</v>
      </c>
    </row>
    <row r="29" spans="1:16" x14ac:dyDescent="0.3">
      <c r="A29" s="9">
        <v>300</v>
      </c>
      <c r="I29">
        <v>8000</v>
      </c>
    </row>
    <row r="30" spans="1:16" x14ac:dyDescent="0.3">
      <c r="A30" s="9">
        <v>350</v>
      </c>
      <c r="I30">
        <v>8500</v>
      </c>
    </row>
    <row r="31" spans="1:16" x14ac:dyDescent="0.3">
      <c r="A31" s="9">
        <v>400</v>
      </c>
      <c r="I31">
        <v>9000</v>
      </c>
    </row>
    <row r="32" spans="1:16" x14ac:dyDescent="0.3">
      <c r="A32" s="9">
        <v>450</v>
      </c>
    </row>
    <row r="33" spans="1:1" x14ac:dyDescent="0.3">
      <c r="A33" s="9">
        <v>500</v>
      </c>
    </row>
  </sheetData>
  <mergeCells count="1">
    <mergeCell ref="I2:L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8F08C60B7C5458D9CBFC302C2BDA2" ma:contentTypeVersion="11" ma:contentTypeDescription="Create a new document." ma:contentTypeScope="" ma:versionID="8c8b5f858d493fd9c9b3c0896673ff36">
  <xsd:schema xmlns:xsd="http://www.w3.org/2001/XMLSchema" xmlns:xs="http://www.w3.org/2001/XMLSchema" xmlns:p="http://schemas.microsoft.com/office/2006/metadata/properties" xmlns:ns2="f0d41ed4-a53d-4502-b54a-52a6b5850a9c" xmlns:ns3="a26b630c-02f5-451b-9f6e-2ef441d8b214" targetNamespace="http://schemas.microsoft.com/office/2006/metadata/properties" ma:root="true" ma:fieldsID="f6317b99b084da3e1b400839f24e44d7" ns2:_="" ns3:_="">
    <xsd:import namespace="f0d41ed4-a53d-4502-b54a-52a6b5850a9c"/>
    <xsd:import namespace="a26b630c-02f5-451b-9f6e-2ef441d8b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41ed4-a53d-4502-b54a-52a6b5850a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23409ff-e24a-461c-a52a-addf0d385b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6b630c-02f5-451b-9f6e-2ef441d8b21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19922d2-ba93-412b-8cf8-cc38612eb136}" ma:internalName="TaxCatchAll" ma:showField="CatchAllData" ma:web="a26b630c-02f5-451b-9f6e-2ef441d8b2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d41ed4-a53d-4502-b54a-52a6b5850a9c">
      <Terms xmlns="http://schemas.microsoft.com/office/infopath/2007/PartnerControls"/>
    </lcf76f155ced4ddcb4097134ff3c332f>
    <TaxCatchAll xmlns="a26b630c-02f5-451b-9f6e-2ef441d8b214" xsi:nil="true"/>
  </documentManagement>
</p:properties>
</file>

<file path=customXml/itemProps1.xml><?xml version="1.0" encoding="utf-8"?>
<ds:datastoreItem xmlns:ds="http://schemas.openxmlformats.org/officeDocument/2006/customXml" ds:itemID="{DB288934-C2CB-41E7-B2B6-D1381140472E}"/>
</file>

<file path=customXml/itemProps2.xml><?xml version="1.0" encoding="utf-8"?>
<ds:datastoreItem xmlns:ds="http://schemas.openxmlformats.org/officeDocument/2006/customXml" ds:itemID="{979BDB12-AF28-4949-AECA-80CFCE5DE772}"/>
</file>

<file path=customXml/itemProps3.xml><?xml version="1.0" encoding="utf-8"?>
<ds:datastoreItem xmlns:ds="http://schemas.openxmlformats.org/officeDocument/2006/customXml" ds:itemID="{1DD8FD83-6BCA-4AEB-96D9-41B7B57A0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Goal Seek</vt:lpstr>
      <vt:lpstr>Scenario Manager</vt:lpstr>
      <vt:lpstr>Data Table</vt:lpstr>
      <vt:lpstr>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Oladoyin Olanrewaju</dc:creator>
  <cp:lastModifiedBy>Oladoyin Olanrewaju</cp:lastModifiedBy>
  <dcterms:created xsi:type="dcterms:W3CDTF">2026-05-16T15:24:21Z</dcterms:created>
  <dcterms:modified xsi:type="dcterms:W3CDTF">2026-05-16T17:59:42Z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0x01010001B8F08C60B7C5458D9CBFC302C2BDA2</vt:lpwstr>
  </property>
</Properties>
</file>